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128e597da3f9f3/Adaptation_to polyploidy_project/Genome_scans/Gene_info/"/>
    </mc:Choice>
  </mc:AlternateContent>
  <xr:revisionPtr revIDLastSave="14" documentId="13_ncr:9_{BF0C32C8-66E3-F040-A029-A4AEB065F975}" xr6:coauthVersionLast="47" xr6:coauthVersionMax="47" xr10:uidLastSave="{4E00CD76-8135-2D49-863B-1DA59A1AC8EC}"/>
  <bookViews>
    <workbookView xWindow="0" yWindow="2060" windowWidth="32440" windowHeight="15940" xr2:uid="{5799B1D3-6BFA-1E4E-A488-8E12DBBFFAA4}"/>
  </bookViews>
  <sheets>
    <sheet name="panther_vcf_enriched_genes_on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<sst xmlns="http://schemas.openxmlformats.org/spreadsheetml/2006/main" count="63" uniqueCount="63">
  <si>
    <t>ARATH|TAIR=locus=505006139|UniProtKB=P61430</t>
  </si>
  <si>
    <t>AT1G22275</t>
  </si>
  <si>
    <t>Synaptonemal complex protein 2;ZYP1B;PTN001504595;orthologs</t>
  </si>
  <si>
    <t>ARATH|TAIR=locus=2100504|UniProtKB=Q9FT53</t>
  </si>
  <si>
    <t>AT3G52290</t>
  </si>
  <si>
    <t>Protein IQ-DOMAIN 3;IQD3;PTN000793205;orthologs</t>
  </si>
  <si>
    <t>ARATH|TAIR=locus=2178282|UniProtKB=Q9FN42</t>
  </si>
  <si>
    <t>AT5G23140</t>
  </si>
  <si>
    <t>ATP-dependent Clp protease proteolytic subunit 2, mitochondrial;CLPP2;PTN000043628;orthologs</t>
  </si>
  <si>
    <t>ARATH|TAIR=locus=2063756|UniProtKB=Q9ZQ83</t>
  </si>
  <si>
    <t>AT2G03470</t>
  </si>
  <si>
    <t>ELM2 domain-containing protein;At2g03470;PTN001121916;orthologs</t>
  </si>
  <si>
    <t>ARATH|TAIR=locus=2149010|UniProtKB=Q9LFE0</t>
  </si>
  <si>
    <t>AT5G16780</t>
  </si>
  <si>
    <t>SART-1 family protein DOT2;DOT2;PTN000365785;orthologs</t>
  </si>
  <si>
    <t>ARATH|TAIR=locus=2143196|UniProtKB=Q683D4</t>
  </si>
  <si>
    <t>AT5G15750</t>
  </si>
  <si>
    <t>Alpha-L RNA-binding motif_Ribosomal protein S4 family protein;At5g15750;PTN000216549;orthologs</t>
  </si>
  <si>
    <t>ARATH|TAIR=locus=2034163|UniProtKB=O04479</t>
  </si>
  <si>
    <t>AT1G65620</t>
  </si>
  <si>
    <t>Protein ASYMMETRIC LEAVES 2;AS2;PTN000769838;orthologs</t>
  </si>
  <si>
    <t>ARATH|TAIR=locus=2201826|UniProtKB=Q94EJ2</t>
  </si>
  <si>
    <t>AT1G08460</t>
  </si>
  <si>
    <t>Histone deacetylase 8;HDA8;PTN000066348;orthologs</t>
  </si>
  <si>
    <t>ARATH|TAIR=locus=2179749|UniProtKB=Q8GYE8</t>
  </si>
  <si>
    <t>AT5G26180</t>
  </si>
  <si>
    <t>25S rRNA (cytosine-C(5))-methyltransferase NSUN5;NSUN5;PTN000515967;orthologs</t>
  </si>
  <si>
    <t>ARATH|TAIR=locus=2122995|UniProtKB=O49472</t>
  </si>
  <si>
    <t>AT4G19540</t>
  </si>
  <si>
    <t>Iron-sulfur protein required for NADH dehydrogenase, mitochondrial;INDH;PTN000586463;orthologs</t>
  </si>
  <si>
    <t>ARATH|TAIR=locus=2019569|UniProtKB=F4HRV8</t>
  </si>
  <si>
    <t>AT1G67370</t>
  </si>
  <si>
    <t>Meiosis-specific protein ASY1;ASY1;PTN007574433;orthologs</t>
  </si>
  <si>
    <t>ARATH|TAIR=locus=2125274|UniProtKB=Q9M082</t>
  </si>
  <si>
    <t>AT4G31520</t>
  </si>
  <si>
    <t>Protein SDA1;At4g31520;PTN000296387;orthologs</t>
  </si>
  <si>
    <t>ARATH|TAIR=locus=2194579|UniProtKB=Q9XIK4</t>
  </si>
  <si>
    <t>AT1G10490</t>
  </si>
  <si>
    <t>RNA cytidine acetyltransferase 1;At1g10490;PTN001332897;orthologs</t>
  </si>
  <si>
    <t>ARATH|TAIR=locus=1009023266|UniProtKB=F4JEK7</t>
  </si>
  <si>
    <t>AT3G13882</t>
  </si>
  <si>
    <t>Ribosomal protein L34;At3g13882;PTN001025884;orthologs</t>
  </si>
  <si>
    <t>ARATH|TAIR=locus=2086760|UniProtKB=Q9LRZ3</t>
  </si>
  <si>
    <t>AT3G16810</t>
  </si>
  <si>
    <t>Pumilio homolog 24;APUM24;PTN000333370;orthologs</t>
  </si>
  <si>
    <t>ARATH|TAIR=locus=2086042|UniProtKB=Q6NLH0</t>
  </si>
  <si>
    <t>AT3G16980</t>
  </si>
  <si>
    <t>DNA-directed RNA polymerases II, IV and V subunit 9A;NRPB9A;PTN000133174;orthologs</t>
  </si>
  <si>
    <t>ARATH|TAIR=locus=2095828|UniProtKB=Q9M2Q4</t>
  </si>
  <si>
    <t>AT3G57940</t>
  </si>
  <si>
    <t>RNA cytidine acetyltransferase 2;At3g57940;PTN000100859;orthologs</t>
  </si>
  <si>
    <t>ARATH|TAIR=locus=505006682|UniProtKB=Q8GS41</t>
  </si>
  <si>
    <t>AT5G48655</t>
  </si>
  <si>
    <t>Putative RING zinc finger;At5g48655;PTN000548481;orthologs</t>
  </si>
  <si>
    <t>ARATH|TAIR=locus=2115280|UniProtKB=O23212</t>
  </si>
  <si>
    <t>AT4G36690</t>
  </si>
  <si>
    <t>Splicing factor U2af large subunit A;U2AF65A;PTN000567093;orthologs</t>
  </si>
  <si>
    <t>ARATH|TAIR=locus=2100509|UniProtKB=Q9FT52</t>
  </si>
  <si>
    <t>AT3G52300</t>
  </si>
  <si>
    <t>ATP synthase subunit d, mitochondrial;At3g52300;PTN000294722;orthologs</t>
  </si>
  <si>
    <t>Gene length</t>
  </si>
  <si>
    <t>Scaffold</t>
  </si>
  <si>
    <t>Gene_Position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</si>
</sst>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33" borderId="0" xfId="0" applyFont="1" applyFill="1"/>
    <xf numFmtId="0" fontId="0" fillId="34" borderId="0" xfId="0" applyFill="1"/>
    <xf numFmtId="0" fontId="0" fillId="33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453B-4345-B947-B972-E2D2C9BED942}">
  <dimension ref="A1:G21"/>
  <sheetViews>
    <sheetView tabSelected="1" zoomScale="166" zoomScaleNormal="166" workbookViewId="0">
      <selection activeCell="F2" sqref="F2"/>
    </sheetView>
  </sheetViews>
  <sheetFormatPr baseColWidth="10" defaultRowHeight="16" x14ac:dyDescent="0.2"/>
  <cols>
    <col min="1" max="1" width="51.5" customWidth="1"/>
    <col min="2" max="2" width="10.5" customWidth="1"/>
    <col min="3" max="3" width="13" customWidth="1"/>
    <col min="4" max="5" width="11.1640625" customWidth="1"/>
    <col min="7" max="7" width="81.6640625" customWidth="1"/>
  </cols>
  <sheetData>
    <row r="1" spans="1:7" x14ac:dyDescent="0.2">
      <c r="B1" t="s">
        <v>61</v>
      </c>
      <c r="C1" t="s">
        <v>62</v>
      </c>
      <c r="D1" t="s">
        <v>60</v>
      </c>
    </row>
    <row r="2" spans="1:7" x14ac:dyDescent="0.2">
      <c r="A2" t="s">
        <v>0</v>
      </c>
      <c r="B2">
        <v>1</v>
      </c>
      <c r="C2">
        <v>8814862</v>
      </c>
      <c r="D2">
        <v>5648</v>
      </c>
      <c r="E2">
        <f>C2+D2</f>
        <v>8820510</v>
      </c>
      <c r="F2" t="s">
        <v>1</v>
      </c>
      <c r="G2" s="5" t="s">
        <v>2</v>
      </c>
    </row>
    <row r="3" spans="1:7" x14ac:dyDescent="0.2">
      <c r="A3" t="s">
        <v>3</v>
      </c>
      <c r="E3">
        <f t="shared" ref="E3:E19" si="0">C3+D3</f>
        <v>0</v>
      </c>
      <c r="F3" t="s">
        <v>4</v>
      </c>
      <c r="G3" t="s">
        <v>5</v>
      </c>
    </row>
    <row r="4" spans="1:7" x14ac:dyDescent="0.2">
      <c r="A4" t="s">
        <v>6</v>
      </c>
      <c r="E4">
        <f t="shared" si="0"/>
        <v>0</v>
      </c>
      <c r="F4" t="s">
        <v>7</v>
      </c>
      <c r="G4" t="s">
        <v>8</v>
      </c>
    </row>
    <row r="5" spans="1:7" x14ac:dyDescent="0.2">
      <c r="A5" t="s">
        <v>9</v>
      </c>
      <c r="B5">
        <v>7</v>
      </c>
      <c r="C5">
        <v>1073758</v>
      </c>
      <c r="E5">
        <f t="shared" si="0"/>
        <v>1073758</v>
      </c>
      <c r="F5" s="2" t="s">
        <v>10</v>
      </c>
      <c r="G5" t="s">
        <v>11</v>
      </c>
    </row>
    <row r="6" spans="1:7" x14ac:dyDescent="0.2">
      <c r="A6" t="s">
        <v>12</v>
      </c>
      <c r="E6">
        <f t="shared" si="0"/>
        <v>0</v>
      </c>
      <c r="F6" t="s">
        <v>13</v>
      </c>
      <c r="G6" t="s">
        <v>14</v>
      </c>
    </row>
    <row r="7" spans="1:7" x14ac:dyDescent="0.2">
      <c r="A7" t="s">
        <v>15</v>
      </c>
      <c r="E7">
        <f t="shared" si="0"/>
        <v>0</v>
      </c>
      <c r="F7" t="s">
        <v>16</v>
      </c>
      <c r="G7" t="s">
        <v>17</v>
      </c>
    </row>
    <row r="8" spans="1:7" x14ac:dyDescent="0.2">
      <c r="A8" t="s">
        <v>18</v>
      </c>
      <c r="E8">
        <f t="shared" si="0"/>
        <v>0</v>
      </c>
      <c r="F8" t="s">
        <v>19</v>
      </c>
      <c r="G8" t="s">
        <v>20</v>
      </c>
    </row>
    <row r="9" spans="1:7" x14ac:dyDescent="0.2">
      <c r="A9" t="s">
        <v>21</v>
      </c>
      <c r="E9">
        <f t="shared" si="0"/>
        <v>0</v>
      </c>
      <c r="F9" t="s">
        <v>22</v>
      </c>
      <c r="G9" t="s">
        <v>23</v>
      </c>
    </row>
    <row r="10" spans="1:7" x14ac:dyDescent="0.2">
      <c r="A10" t="s">
        <v>24</v>
      </c>
      <c r="E10">
        <f t="shared" si="0"/>
        <v>0</v>
      </c>
      <c r="F10" t="s">
        <v>25</v>
      </c>
      <c r="G10" t="s">
        <v>26</v>
      </c>
    </row>
    <row r="11" spans="1:7" x14ac:dyDescent="0.2">
      <c r="A11" t="s">
        <v>27</v>
      </c>
      <c r="E11">
        <f t="shared" si="0"/>
        <v>0</v>
      </c>
      <c r="F11" t="s">
        <v>28</v>
      </c>
      <c r="G11" t="s">
        <v>29</v>
      </c>
    </row>
    <row r="12" spans="1:7" x14ac:dyDescent="0.2">
      <c r="A12" t="s">
        <v>30</v>
      </c>
      <c r="B12">
        <v>2</v>
      </c>
      <c r="C12">
        <v>10483341.5</v>
      </c>
      <c r="D12">
        <v>4366</v>
      </c>
      <c r="E12">
        <f t="shared" si="0"/>
        <v>10487707.5</v>
      </c>
      <c r="F12" t="s">
        <v>31</v>
      </c>
      <c r="G12" s="5" t="s">
        <v>32</v>
      </c>
    </row>
    <row r="13" spans="1:7" x14ac:dyDescent="0.2">
      <c r="A13" t="s">
        <v>33</v>
      </c>
      <c r="B13">
        <v>1</v>
      </c>
      <c r="C13">
        <v>3772680.5</v>
      </c>
      <c r="E13">
        <f t="shared" si="0"/>
        <v>3772680.5</v>
      </c>
      <c r="F13" s="2" t="s">
        <v>34</v>
      </c>
      <c r="G13" s="4" t="s">
        <v>35</v>
      </c>
    </row>
    <row r="14" spans="1:7" x14ac:dyDescent="0.2">
      <c r="A14" t="s">
        <v>36</v>
      </c>
      <c r="B14">
        <v>1</v>
      </c>
      <c r="C14">
        <v>3773421</v>
      </c>
      <c r="E14">
        <f t="shared" si="0"/>
        <v>3773421</v>
      </c>
      <c r="F14" s="2" t="s">
        <v>37</v>
      </c>
      <c r="G14" s="4" t="s">
        <v>38</v>
      </c>
    </row>
    <row r="15" spans="1:7" x14ac:dyDescent="0.2">
      <c r="A15" t="s">
        <v>39</v>
      </c>
      <c r="E15">
        <f t="shared" si="0"/>
        <v>0</v>
      </c>
      <c r="F15" t="s">
        <v>40</v>
      </c>
      <c r="G15" t="s">
        <v>41</v>
      </c>
    </row>
    <row r="16" spans="1:7" x14ac:dyDescent="0.2">
      <c r="A16" t="s">
        <v>42</v>
      </c>
      <c r="B16">
        <v>3</v>
      </c>
      <c r="C16">
        <v>6515213</v>
      </c>
      <c r="D16">
        <v>4442</v>
      </c>
      <c r="E16">
        <f t="shared" si="0"/>
        <v>6519655</v>
      </c>
      <c r="F16" s="2" t="s">
        <v>43</v>
      </c>
      <c r="G16" s="1" t="s">
        <v>44</v>
      </c>
    </row>
    <row r="17" spans="1:7" x14ac:dyDescent="0.2">
      <c r="A17" t="s">
        <v>45</v>
      </c>
      <c r="B17">
        <v>3</v>
      </c>
      <c r="C17">
        <v>6597399</v>
      </c>
      <c r="D17">
        <v>1435</v>
      </c>
      <c r="E17">
        <f t="shared" si="0"/>
        <v>6598834</v>
      </c>
      <c r="F17" s="2" t="s">
        <v>46</v>
      </c>
      <c r="G17" s="1" t="s">
        <v>47</v>
      </c>
    </row>
    <row r="18" spans="1:7" x14ac:dyDescent="0.2">
      <c r="A18" t="s">
        <v>48</v>
      </c>
      <c r="E18">
        <f t="shared" si="0"/>
        <v>0</v>
      </c>
      <c r="F18" t="s">
        <v>49</v>
      </c>
      <c r="G18" t="s">
        <v>50</v>
      </c>
    </row>
    <row r="19" spans="1:7" x14ac:dyDescent="0.2">
      <c r="A19" t="s">
        <v>51</v>
      </c>
      <c r="B19">
        <v>3</v>
      </c>
      <c r="C19">
        <v>6593467.5</v>
      </c>
      <c r="D19">
        <v>1893</v>
      </c>
      <c r="E19">
        <f t="shared" si="0"/>
        <v>6595360.5</v>
      </c>
      <c r="F19" s="2" t="s">
        <v>52</v>
      </c>
      <c r="G19" s="3" t="s">
        <v>53</v>
      </c>
    </row>
    <row r="20" spans="1:7" x14ac:dyDescent="0.2">
      <c r="A20" t="s">
        <v>54</v>
      </c>
      <c r="F20" t="s">
        <v>55</v>
      </c>
      <c r="G20" t="s">
        <v>56</v>
      </c>
    </row>
    <row r="21" spans="1:7" x14ac:dyDescent="0.2">
      <c r="A21" t="s">
        <v>57</v>
      </c>
      <c r="F21" t="s">
        <v>58</v>
      </c>
      <c r="G2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panther_vcf_enriched_genes_only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Millar</dc:creator>
  <cp:lastModifiedBy>Vanessa Millar</cp:lastModifiedBy>
  <dcterms:created xsi:type="dcterms:W3CDTF">2024-07-16T15:27:43Z</dcterms:created>
  <dcterms:modified xsi:type="dcterms:W3CDTF">2024-07-28T14:38:35Z</dcterms:modified>
</cp:coreProperties>
</file>