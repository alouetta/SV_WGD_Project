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4"/>
  <workbookPr defaultThemeVersion="124226"/>
  <mc:AlternateContent xmlns:mc="http://schemas.openxmlformats.org/markup-compatibility/2006">
    <mc:Choice Requires="x15">
      <x15ac:absPath xmlns:x15ac="http://schemas.microsoft.com/office/spreadsheetml/2010/11/ac" url="https://d.docs.live.net/f5128e597da3f9f3/Adaptation_to polyploidy_project/Genome_scans/"/>
    </mc:Choice>
  </mc:AlternateContent>
  <xr:revisionPtr revIDLastSave="141" documentId="13_ncr:1_{C02D9D94-8EA2-F046-85B4-FBDC308B4078}" xr6:coauthVersionLast="47" xr6:coauthVersionMax="47" xr10:uidLastSave="{B5DB6C14-9727-524F-A247-3ABF46CFC6B3}"/>
  <bookViews>
    <workbookView xWindow="0" yWindow="2100" windowWidth="28800" windowHeight="15900" xr2:uid="{00000000-000D-0000-FFFF-FFFF00000000}"/>
  </bookViews>
  <sheets>
    <sheet name="Sheet1"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4" i="1" l="1"/>
  <c r="J23" i="1"/>
  <c r="J25" i="1" s="1"/>
  <c r="E23" i="1"/>
  <c r="E25" i="1" s="1"/>
  <c r="E24" i="1"/>
</calcChain>
</file>

<file path=xl/sharedStrings.xml><?xml version="1.0" encoding="utf-8"?>
<sst xmlns="http://schemas.openxmlformats.org/spreadsheetml/2006/main" count="97" uniqueCount="56">
  <si>
    <t>CHROM</t>
  </si>
  <si>
    <t>FST</t>
  </si>
  <si>
    <t>scaffold_3</t>
  </si>
  <si>
    <t>scaffold_7</t>
  </si>
  <si>
    <t>scaffold_6</t>
  </si>
  <si>
    <t>scaffold_2</t>
  </si>
  <si>
    <t>scaffold_1</t>
  </si>
  <si>
    <t>scaffold_4</t>
  </si>
  <si>
    <t>INS_133</t>
  </si>
  <si>
    <t>SV</t>
  </si>
  <si>
    <t>INS_1376</t>
  </si>
  <si>
    <t>INS_264</t>
  </si>
  <si>
    <t>DEL_868</t>
  </si>
  <si>
    <t>DEL_500</t>
  </si>
  <si>
    <t>INS_428</t>
  </si>
  <si>
    <t>DEL_79</t>
  </si>
  <si>
    <t>scantools</t>
  </si>
  <si>
    <t>vcf genes</t>
  </si>
  <si>
    <t>The table shows the top 20 Fsts from both the vcf data and scantools data. It also shows whereabouts on the scaffold it is and what type of SV it is. The highlighted cells indicate the Fsts that match between the 2 lists.</t>
  </si>
  <si>
    <t>DEL_63</t>
  </si>
  <si>
    <t>UNK_58</t>
  </si>
  <si>
    <t>INS_148</t>
  </si>
  <si>
    <t>INS_326</t>
  </si>
  <si>
    <t>INS_50</t>
  </si>
  <si>
    <t>DEL_7087</t>
  </si>
  <si>
    <t>INS_179</t>
  </si>
  <si>
    <t>DEL_1398</t>
  </si>
  <si>
    <t>INS_137</t>
  </si>
  <si>
    <t>INS_178</t>
  </si>
  <si>
    <t>UNK_1102</t>
  </si>
  <si>
    <t>scaff</t>
  </si>
  <si>
    <t>scaffold_5</t>
  </si>
  <si>
    <t>DEL_391</t>
  </si>
  <si>
    <t>INS_2225</t>
  </si>
  <si>
    <t>INS_333</t>
  </si>
  <si>
    <t>DEL_151</t>
  </si>
  <si>
    <t>INS_60</t>
  </si>
  <si>
    <t>DEL_52</t>
  </si>
  <si>
    <t>INS_1146</t>
  </si>
  <si>
    <t>INS_227</t>
  </si>
  <si>
    <t>INS_305</t>
  </si>
  <si>
    <t>INS_3750</t>
  </si>
  <si>
    <t>DEL_682</t>
  </si>
  <si>
    <t>INS_69</t>
  </si>
  <si>
    <t>INS_537</t>
  </si>
  <si>
    <t>scaffold_8</t>
  </si>
  <si>
    <t>DEL_6505</t>
  </si>
  <si>
    <t>DEL_243</t>
  </si>
  <si>
    <t>DEL_987</t>
  </si>
  <si>
    <t>DEL_710</t>
  </si>
  <si>
    <t>No.of DELs</t>
  </si>
  <si>
    <t>No.of INS</t>
  </si>
  <si>
    <t>No.of UNK</t>
  </si>
  <si>
    <t>VCF Data</t>
  </si>
  <si>
    <t>Scantools Data</t>
  </si>
  <si>
    <t>DEL_238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</si>
</sst>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000000"/>
      <name val="Lucida Grande"/>
      <family val="2"/>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0" xfId="0" applyFont="1" applyAlignment="1">
      <alignment horizontal="center"/>
    </xf>
    <xf numFmtId="0" fontId="0" fillId="0" borderId="0" xfId="0" applyAlignment="1">
      <alignment horizontal="left" vertical="top" wrapText="1"/>
    </xf>
    <xf numFmtId="0" fontId="2" fillId="0" borderId="0" xfId="0" applyFont="1"/>
    <xf numFmtId="0" fontId="0" fillId="0" borderId="1" xfId="0" applyBorder="1"/>
    <xf numFmtId="0" fontId="0" fillId="0" borderId="1" xfId="0" applyBorder="1" applyAlignment="1">
      <alignment horizontal="center"/>
    </xf>
    <xf numFmtId="0" fontId="0" fillId="0" borderId="0" xfId="0" applyAlignment="1">
      <alignment horizontal="center"/>
    </xf>
    <xf numFmtId="0" fontId="0" fillId="0" borderId="0" xfId="0" applyAlignment="1">
      <alignment horizontal="left" vertical="top" wrapText="1"/>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0" xfId="0" applyAlignment="1">
      <alignment horizontal="center"/>
    </xf>
    <xf numFmtId="0" fontId="0" fillId="2" borderId="0" xfId="0" applyFill="1"/>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9"/>
  <sheetViews>
    <sheetView tabSelected="1" topLeftCell="A4" zoomScale="160" zoomScaleNormal="160" workbookViewId="0">
      <selection activeCell="B7" sqref="B7"/>
    </sheetView>
  </sheetViews>
  <sheetFormatPr baseColWidth="10" defaultColWidth="8.83203125" defaultRowHeight="15" x14ac:dyDescent="0.2"/>
  <cols>
    <col min="8" max="8" width="12.1640625" customWidth="1"/>
    <col min="12" max="12" width="11" customWidth="1"/>
  </cols>
  <sheetData>
    <row r="1" spans="1:10" x14ac:dyDescent="0.2">
      <c r="B1" s="8" t="s">
        <v>53</v>
      </c>
      <c r="C1" s="9"/>
      <c r="D1" s="9"/>
      <c r="E1" s="10"/>
      <c r="G1" s="11" t="s">
        <v>54</v>
      </c>
      <c r="H1" s="11"/>
      <c r="I1" s="11"/>
      <c r="J1" s="11"/>
    </row>
    <row r="2" spans="1:10" s="1" customFormat="1" x14ac:dyDescent="0.2">
      <c r="B2" s="1" t="s">
        <v>0</v>
      </c>
      <c r="C2" s="1" t="s">
        <v>17</v>
      </c>
      <c r="D2" s="1" t="s">
        <v>1</v>
      </c>
      <c r="E2" s="1" t="s">
        <v>9</v>
      </c>
      <c r="G2" s="1" t="s">
        <v>30</v>
      </c>
      <c r="H2" s="1" t="s">
        <v>16</v>
      </c>
      <c r="I2" s="1" t="s">
        <v>1</v>
      </c>
      <c r="J2" s="1" t="s">
        <v>9</v>
      </c>
    </row>
    <row r="3" spans="1:10" x14ac:dyDescent="0.2">
      <c r="A3">
        <v>1</v>
      </c>
      <c r="B3" s="12" t="s">
        <v>2</v>
      </c>
      <c r="C3">
        <v>6597498</v>
      </c>
      <c r="D3">
        <v>0.68984500000000004</v>
      </c>
      <c r="E3" t="s">
        <v>8</v>
      </c>
      <c r="G3" t="s">
        <v>2</v>
      </c>
      <c r="H3">
        <v>1203643</v>
      </c>
      <c r="I3">
        <v>0.74598146527856057</v>
      </c>
      <c r="J3" t="s">
        <v>35</v>
      </c>
    </row>
    <row r="4" spans="1:10" x14ac:dyDescent="0.2">
      <c r="A4">
        <v>2</v>
      </c>
      <c r="B4" t="s">
        <v>3</v>
      </c>
      <c r="C4">
        <v>1072399</v>
      </c>
      <c r="D4">
        <v>0.54311100000000001</v>
      </c>
      <c r="E4" t="s">
        <v>10</v>
      </c>
      <c r="G4" t="s">
        <v>3</v>
      </c>
      <c r="H4">
        <v>1105754</v>
      </c>
      <c r="I4">
        <v>0.72256685511437246</v>
      </c>
      <c r="J4" t="s">
        <v>36</v>
      </c>
    </row>
    <row r="5" spans="1:10" x14ac:dyDescent="0.2">
      <c r="A5">
        <v>3</v>
      </c>
      <c r="B5" t="s">
        <v>4</v>
      </c>
      <c r="C5">
        <v>1427896</v>
      </c>
      <c r="D5">
        <v>0.493863</v>
      </c>
      <c r="E5" t="s">
        <v>11</v>
      </c>
      <c r="G5" t="s">
        <v>2</v>
      </c>
      <c r="H5">
        <v>6597498</v>
      </c>
      <c r="I5">
        <v>0.70116938712327948</v>
      </c>
      <c r="J5" t="s">
        <v>8</v>
      </c>
    </row>
    <row r="6" spans="1:10" x14ac:dyDescent="0.2">
      <c r="A6">
        <v>4</v>
      </c>
      <c r="B6" t="s">
        <v>3</v>
      </c>
      <c r="C6">
        <v>1072400</v>
      </c>
      <c r="D6">
        <v>0.48685600000000001</v>
      </c>
      <c r="E6" t="s">
        <v>10</v>
      </c>
      <c r="G6" t="s">
        <v>6</v>
      </c>
      <c r="H6">
        <v>22348072</v>
      </c>
      <c r="I6">
        <v>0.67792584838504655</v>
      </c>
      <c r="J6" t="s">
        <v>55</v>
      </c>
    </row>
    <row r="7" spans="1:10" x14ac:dyDescent="0.2">
      <c r="A7">
        <v>5</v>
      </c>
      <c r="B7" s="12" t="s">
        <v>2</v>
      </c>
      <c r="C7">
        <v>6518294</v>
      </c>
      <c r="D7">
        <v>0.48393000000000003</v>
      </c>
      <c r="E7" t="s">
        <v>12</v>
      </c>
      <c r="G7" t="s">
        <v>5</v>
      </c>
      <c r="H7">
        <v>1613642</v>
      </c>
      <c r="I7">
        <v>0.66422610942895166</v>
      </c>
      <c r="J7" t="s">
        <v>39</v>
      </c>
    </row>
    <row r="8" spans="1:10" x14ac:dyDescent="0.2">
      <c r="A8">
        <v>6</v>
      </c>
      <c r="B8" t="s">
        <v>3</v>
      </c>
      <c r="C8">
        <v>20652946</v>
      </c>
      <c r="D8">
        <v>0.467032</v>
      </c>
      <c r="E8" t="s">
        <v>13</v>
      </c>
      <c r="G8" t="s">
        <v>3</v>
      </c>
      <c r="H8">
        <v>2787467</v>
      </c>
      <c r="I8">
        <v>0.63321014031222866</v>
      </c>
      <c r="J8" t="s">
        <v>37</v>
      </c>
    </row>
    <row r="9" spans="1:10" x14ac:dyDescent="0.2">
      <c r="A9">
        <v>7</v>
      </c>
      <c r="B9" t="s">
        <v>2</v>
      </c>
      <c r="C9">
        <v>5176938</v>
      </c>
      <c r="D9">
        <v>0.455372</v>
      </c>
      <c r="E9" t="s">
        <v>14</v>
      </c>
      <c r="G9" t="s">
        <v>31</v>
      </c>
      <c r="H9">
        <v>7482799</v>
      </c>
      <c r="I9">
        <v>0.61739732804136471</v>
      </c>
      <c r="J9" t="s">
        <v>42</v>
      </c>
    </row>
    <row r="10" spans="1:10" x14ac:dyDescent="0.2">
      <c r="A10">
        <v>8</v>
      </c>
      <c r="B10" t="s">
        <v>4</v>
      </c>
      <c r="C10">
        <v>3731071</v>
      </c>
      <c r="D10">
        <v>0.429093</v>
      </c>
      <c r="E10" t="s">
        <v>15</v>
      </c>
      <c r="G10" t="s">
        <v>4</v>
      </c>
      <c r="H10">
        <v>10910931</v>
      </c>
      <c r="I10">
        <v>0.60577993124258112</v>
      </c>
      <c r="J10" t="s">
        <v>32</v>
      </c>
    </row>
    <row r="11" spans="1:10" x14ac:dyDescent="0.2">
      <c r="A11">
        <v>9</v>
      </c>
      <c r="B11" t="s">
        <v>5</v>
      </c>
      <c r="C11">
        <v>5891136</v>
      </c>
      <c r="D11">
        <v>0.42497499999999999</v>
      </c>
      <c r="E11" t="s">
        <v>19</v>
      </c>
      <c r="G11" t="s">
        <v>3</v>
      </c>
      <c r="H11">
        <v>3016678</v>
      </c>
      <c r="I11">
        <v>0.59947382841001351</v>
      </c>
      <c r="J11" t="s">
        <v>38</v>
      </c>
    </row>
    <row r="12" spans="1:10" x14ac:dyDescent="0.2">
      <c r="A12">
        <v>10</v>
      </c>
      <c r="B12" t="s">
        <v>6</v>
      </c>
      <c r="C12">
        <v>3769759</v>
      </c>
      <c r="D12">
        <v>0.41753899999999999</v>
      </c>
      <c r="E12" t="s">
        <v>21</v>
      </c>
      <c r="G12" t="s">
        <v>7</v>
      </c>
      <c r="H12">
        <v>12238778</v>
      </c>
      <c r="I12">
        <v>0.59806020670007143</v>
      </c>
      <c r="J12" t="s">
        <v>43</v>
      </c>
    </row>
    <row r="13" spans="1:10" x14ac:dyDescent="0.2">
      <c r="A13">
        <v>11</v>
      </c>
      <c r="B13" t="s">
        <v>7</v>
      </c>
      <c r="C13">
        <v>11177986</v>
      </c>
      <c r="D13">
        <v>0.41688900000000001</v>
      </c>
      <c r="E13" t="s">
        <v>24</v>
      </c>
      <c r="G13" t="s">
        <v>2</v>
      </c>
      <c r="H13">
        <v>6518294</v>
      </c>
      <c r="I13">
        <v>0.59147913934474017</v>
      </c>
      <c r="J13" t="s">
        <v>12</v>
      </c>
    </row>
    <row r="14" spans="1:10" x14ac:dyDescent="0.2">
      <c r="A14">
        <v>12</v>
      </c>
      <c r="B14" t="s">
        <v>6</v>
      </c>
      <c r="C14">
        <v>201344</v>
      </c>
      <c r="D14">
        <v>0.39171</v>
      </c>
      <c r="E14" t="s">
        <v>15</v>
      </c>
      <c r="G14" t="s">
        <v>45</v>
      </c>
      <c r="H14">
        <v>9768093</v>
      </c>
      <c r="I14">
        <v>0.5705887733690248</v>
      </c>
      <c r="J14" t="s">
        <v>46</v>
      </c>
    </row>
    <row r="15" spans="1:10" x14ac:dyDescent="0.2">
      <c r="A15">
        <v>13</v>
      </c>
      <c r="B15" s="12" t="s">
        <v>5</v>
      </c>
      <c r="C15">
        <v>10479773</v>
      </c>
      <c r="D15">
        <v>0.37932399999999999</v>
      </c>
      <c r="E15" t="s">
        <v>20</v>
      </c>
      <c r="G15" t="s">
        <v>4</v>
      </c>
      <c r="H15">
        <v>13379376</v>
      </c>
      <c r="I15">
        <v>0.56422372808035459</v>
      </c>
      <c r="J15" t="s">
        <v>33</v>
      </c>
    </row>
    <row r="16" spans="1:10" x14ac:dyDescent="0.2">
      <c r="A16">
        <v>14</v>
      </c>
      <c r="B16" t="s">
        <v>2</v>
      </c>
      <c r="C16">
        <v>1519134</v>
      </c>
      <c r="D16">
        <v>0.37874999999999998</v>
      </c>
      <c r="E16" t="s">
        <v>25</v>
      </c>
      <c r="G16" t="s">
        <v>5</v>
      </c>
      <c r="H16">
        <v>15238631</v>
      </c>
      <c r="I16">
        <v>0.55835914076421322</v>
      </c>
      <c r="J16" t="s">
        <v>40</v>
      </c>
    </row>
    <row r="17" spans="1:13" x14ac:dyDescent="0.2">
      <c r="A17">
        <v>15</v>
      </c>
      <c r="B17" t="s">
        <v>4</v>
      </c>
      <c r="C17">
        <v>8973470</v>
      </c>
      <c r="D17">
        <v>0.36383500000000002</v>
      </c>
      <c r="E17" t="s">
        <v>27</v>
      </c>
      <c r="G17" t="s">
        <v>6</v>
      </c>
      <c r="H17">
        <v>4501426</v>
      </c>
      <c r="I17">
        <v>0.55144216160848214</v>
      </c>
      <c r="J17" t="s">
        <v>47</v>
      </c>
    </row>
    <row r="18" spans="1:13" x14ac:dyDescent="0.2">
      <c r="A18">
        <v>16</v>
      </c>
      <c r="B18" t="s">
        <v>6</v>
      </c>
      <c r="C18">
        <v>12919462</v>
      </c>
      <c r="D18">
        <v>0.36280699999999999</v>
      </c>
      <c r="E18" t="s">
        <v>22</v>
      </c>
      <c r="G18" t="s">
        <v>3</v>
      </c>
      <c r="H18">
        <v>16731681</v>
      </c>
      <c r="I18">
        <v>0.55085052415166302</v>
      </c>
      <c r="J18" t="s">
        <v>48</v>
      </c>
    </row>
    <row r="19" spans="1:13" x14ac:dyDescent="0.2">
      <c r="A19">
        <v>17</v>
      </c>
      <c r="B19" t="s">
        <v>2</v>
      </c>
      <c r="C19">
        <v>6319320</v>
      </c>
      <c r="D19">
        <v>0.36073499999999997</v>
      </c>
      <c r="E19" t="s">
        <v>26</v>
      </c>
      <c r="G19" t="s">
        <v>5</v>
      </c>
      <c r="H19">
        <v>5885352</v>
      </c>
      <c r="I19">
        <v>0.54470984214258311</v>
      </c>
      <c r="J19" t="s">
        <v>41</v>
      </c>
      <c r="L19" s="3"/>
      <c r="M19" s="3"/>
    </row>
    <row r="20" spans="1:13" x14ac:dyDescent="0.2">
      <c r="A20">
        <v>18</v>
      </c>
      <c r="B20" t="s">
        <v>4</v>
      </c>
      <c r="C20">
        <v>16633374</v>
      </c>
      <c r="D20">
        <v>0.34902300000000003</v>
      </c>
      <c r="E20" t="s">
        <v>28</v>
      </c>
      <c r="G20" t="s">
        <v>7</v>
      </c>
      <c r="H20">
        <v>5849022</v>
      </c>
      <c r="I20">
        <v>0.54393468512585552</v>
      </c>
      <c r="J20" t="s">
        <v>44</v>
      </c>
      <c r="L20" s="3"/>
    </row>
    <row r="21" spans="1:13" x14ac:dyDescent="0.2">
      <c r="A21">
        <v>19</v>
      </c>
      <c r="B21" t="s">
        <v>6</v>
      </c>
      <c r="C21">
        <v>8817634</v>
      </c>
      <c r="D21">
        <v>0.336283</v>
      </c>
      <c r="E21" t="s">
        <v>23</v>
      </c>
      <c r="G21" t="s">
        <v>4</v>
      </c>
      <c r="H21">
        <v>8393897</v>
      </c>
      <c r="I21">
        <v>0.54194080582611592</v>
      </c>
      <c r="J21" t="s">
        <v>34</v>
      </c>
      <c r="L21" s="3"/>
      <c r="M21" s="3"/>
    </row>
    <row r="22" spans="1:13" x14ac:dyDescent="0.2">
      <c r="A22">
        <v>20</v>
      </c>
      <c r="B22" t="s">
        <v>4</v>
      </c>
      <c r="C22">
        <v>2944041</v>
      </c>
      <c r="D22">
        <v>0.33466200000000002</v>
      </c>
      <c r="E22" t="s">
        <v>29</v>
      </c>
      <c r="G22" t="s">
        <v>3</v>
      </c>
      <c r="H22">
        <v>10616247</v>
      </c>
      <c r="I22">
        <v>0.53802806468980091</v>
      </c>
      <c r="J22" t="s">
        <v>49</v>
      </c>
      <c r="L22" s="3"/>
    </row>
    <row r="23" spans="1:13" x14ac:dyDescent="0.2">
      <c r="D23" s="4" t="s">
        <v>50</v>
      </c>
      <c r="E23" s="5">
        <f>COUNTIF(E3:E22, "DEL*")</f>
        <v>7</v>
      </c>
      <c r="F23" s="6"/>
      <c r="I23" s="4" t="s">
        <v>50</v>
      </c>
      <c r="J23" s="5">
        <f>COUNTIF(J3:J22, "DEL_*")</f>
        <v>10</v>
      </c>
      <c r="L23" s="3"/>
    </row>
    <row r="24" spans="1:13" x14ac:dyDescent="0.2">
      <c r="D24" s="4" t="s">
        <v>51</v>
      </c>
      <c r="E24" s="5">
        <f>COUNTIF(E3:E22, "INS*")</f>
        <v>11</v>
      </c>
      <c r="F24" s="6"/>
      <c r="I24" s="4" t="s">
        <v>51</v>
      </c>
      <c r="J24" s="5">
        <f>COUNTIF(J3:J22, "INS*")</f>
        <v>10</v>
      </c>
    </row>
    <row r="25" spans="1:13" x14ac:dyDescent="0.2">
      <c r="D25" s="4" t="s">
        <v>52</v>
      </c>
      <c r="E25" s="5">
        <f>COUNTIF(E4:E23, "UNK*")</f>
        <v>2</v>
      </c>
      <c r="I25" s="4" t="s">
        <v>52</v>
      </c>
      <c r="J25" s="5">
        <f>COUNTIF(J4:J23, "UNK*")</f>
        <v>0</v>
      </c>
    </row>
    <row r="26" spans="1:13" ht="45" customHeight="1" x14ac:dyDescent="0.2">
      <c r="B26" s="7" t="s">
        <v>18</v>
      </c>
      <c r="C26" s="7"/>
      <c r="D26" s="7"/>
      <c r="E26" s="7"/>
      <c r="F26" s="7"/>
      <c r="G26" s="7"/>
      <c r="H26" s="7"/>
      <c r="I26" s="7"/>
      <c r="J26" s="7"/>
      <c r="K26" s="2"/>
    </row>
    <row r="29" spans="1:13" x14ac:dyDescent="0.2">
      <c r="G29" s="2"/>
      <c r="H29" s="2"/>
      <c r="I29" s="2"/>
      <c r="J29" s="2"/>
    </row>
  </sheetData>
  <mergeCells count="3">
    <mergeCell ref="B26:J26"/>
    <mergeCell ref="B1:E1"/>
    <mergeCell ref="G1:J1"/>
  </mergeCells>
  <conditionalFormatting sqref="C2:C23 H2:H25">
    <cfRule type="duplicateValues" dxfId="2" priority="12"/>
  </conditionalFormatting>
  <conditionalFormatting sqref="H3:H25">
    <cfRule type="duplicateValues" dxfId="1" priority="15"/>
  </conditionalFormatting>
  <conditionalFormatting sqref="H27:H1048576 C2:C25 H2:H25 C27:C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Vanessa Millar</cp:lastModifiedBy>
  <dcterms:created xsi:type="dcterms:W3CDTF">2024-07-17T09:05:07Z</dcterms:created>
  <dcterms:modified xsi:type="dcterms:W3CDTF">2024-07-28T15:56:47Z</dcterms:modified>
</cp:coreProperties>
</file>